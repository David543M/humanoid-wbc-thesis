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Vérifiées" sheetId="1" state="visible" r:id="rId1"/>
    <sheet xmlns:r="http://schemas.openxmlformats.org/officeDocument/2006/relationships" name="Corrections Nécessaires" sheetId="2" state="visible" r:id="rId2"/>
    <sheet xmlns:r="http://schemas.openxmlformats.org/officeDocument/2006/relationships" name="À Supprimer (AI-generated)" sheetId="3" state="visible" r:id="rId3"/>
    <sheet xmlns:r="http://schemas.openxmlformats.org/officeDocument/2006/relationships" name="Résumé &amp; 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  <col width="35" customWidth="1" min="3" max="3"/>
    <col width="8" customWidth="1" min="4" max="4"/>
    <col width="25" customWidth="1" min="5" max="5"/>
    <col width="20" customWidth="1" min="6" max="6"/>
    <col width="45" customWidth="1" min="7" max="7"/>
    <col width="15" customWidth="1" min="8" max="8"/>
  </cols>
  <sheetData>
    <row r="1">
      <c r="A1" s="1" t="inlineStr">
        <is>
          <t>BibKey</t>
        </is>
      </c>
      <c r="B1" s="1" t="inlineStr">
        <is>
          <t>Titre</t>
        </is>
      </c>
      <c r="C1" s="1" t="inlineStr">
        <is>
          <t>Auteurs</t>
        </is>
      </c>
      <c r="D1" s="1" t="inlineStr">
        <is>
          <t>Année</t>
        </is>
      </c>
      <c r="E1" s="1" t="inlineStr">
        <is>
          <t>Venue</t>
        </is>
      </c>
      <c r="F1" s="1" t="inlineStr">
        <is>
          <t>DOI/arXiv</t>
        </is>
      </c>
      <c r="G1" s="1" t="inlineStr">
        <is>
          <t>Lien HTTP</t>
        </is>
      </c>
      <c r="H1" s="1" t="inlineStr">
        <is>
          <t>Statut</t>
        </is>
      </c>
    </row>
    <row r="2">
      <c r="A2" s="2" t="inlineStr">
        <is>
          <t>Khatib1987</t>
        </is>
      </c>
      <c r="B2" s="2" t="inlineStr">
        <is>
          <t>A Unified Approach for Motion and Force Control of Robot Manipulators</t>
        </is>
      </c>
      <c r="C2" s="2" t="inlineStr">
        <is>
          <t>O. Khatib</t>
        </is>
      </c>
      <c r="D2" s="2" t="n">
        <v>1987</v>
      </c>
      <c r="E2" s="2" t="inlineStr">
        <is>
          <t>IEEE J. Robot. Autom.</t>
        </is>
      </c>
      <c r="F2" s="2" t="inlineStr">
        <is>
          <t>10.1109/JRA.1987.1087068</t>
        </is>
      </c>
      <c r="G2" s="2">
        <f>HYPERLINK("https://doi.org/10.1109/JRA.1987.1087068", "Ouvrir")</f>
        <v/>
      </c>
      <c r="H2" s="2" t="inlineStr">
        <is>
          <t>✅</t>
        </is>
      </c>
    </row>
    <row r="3">
      <c r="A3" s="2" t="inlineStr">
        <is>
          <t>Sentis2005</t>
        </is>
      </c>
      <c r="B3" s="2" t="inlineStr">
        <is>
          <t>Synthesis of Whole-Body Behaviors Through Hierarchical Control</t>
        </is>
      </c>
      <c r="C3" s="2" t="inlineStr">
        <is>
          <t>L. Sentis, O. Khatib</t>
        </is>
      </c>
      <c r="D3" s="2" t="n">
        <v>2005</v>
      </c>
      <c r="E3" s="2" t="inlineStr">
        <is>
          <t>IJHR</t>
        </is>
      </c>
      <c r="F3" s="2" t="inlineStr">
        <is>
          <t>10.1142/S0219843605000594</t>
        </is>
      </c>
      <c r="G3" s="2">
        <f>HYPERLINK("https://doi.org/10.1142/S0219843605000594", "Ouvrir")</f>
        <v/>
      </c>
      <c r="H3" s="2" t="inlineStr">
        <is>
          <t>✅</t>
        </is>
      </c>
    </row>
    <row r="4">
      <c r="A4" s="2" t="inlineStr">
        <is>
          <t>Kanoun2011</t>
        </is>
      </c>
      <c r="B4" s="2" t="inlineStr">
        <is>
          <t>Kinematic Control of Redundant Manipulators: Generalizing Task-Priority</t>
        </is>
      </c>
      <c r="C4" s="2" t="inlineStr">
        <is>
          <t>O. Kanoun et al.</t>
        </is>
      </c>
      <c r="D4" s="2" t="n">
        <v>2011</v>
      </c>
      <c r="E4" s="2" t="inlineStr">
        <is>
          <t>IEEE T-RO</t>
        </is>
      </c>
      <c r="F4" s="2" t="inlineStr">
        <is>
          <t>10.1109/TRO.2011.2142450</t>
        </is>
      </c>
      <c r="G4" s="2">
        <f>HYPERLINK("https://doi.org/10.1109/TRO.2011.2142450", "Ouvrir")</f>
        <v/>
      </c>
      <c r="H4" s="2" t="inlineStr">
        <is>
          <t>✅</t>
        </is>
      </c>
    </row>
    <row r="5">
      <c r="A5" s="2" t="inlineStr">
        <is>
          <t>Wensing2013</t>
        </is>
      </c>
      <c r="B5" s="2" t="inlineStr">
        <is>
          <t>Generation of Dynamic Humanoid Behaviors Through Task-Space Control</t>
        </is>
      </c>
      <c r="C5" s="2" t="inlineStr">
        <is>
          <t>P. M. Wensing, D. E. Orin</t>
        </is>
      </c>
      <c r="D5" s="2" t="n">
        <v>2013</v>
      </c>
      <c r="E5" s="2" t="inlineStr">
        <is>
          <t>IEEE ICRA</t>
        </is>
      </c>
      <c r="F5" s="2" t="inlineStr">
        <is>
          <t>10.1109/ICRA.2013.6631008</t>
        </is>
      </c>
      <c r="G5" s="2">
        <f>HYPERLINK("https://doi.org/10.1109/ICRA.2013.6631008", "Ouvrir")</f>
        <v/>
      </c>
      <c r="H5" s="2" t="inlineStr">
        <is>
          <t>✅</t>
        </is>
      </c>
    </row>
    <row r="6">
      <c r="A6" s="2" t="inlineStr">
        <is>
          <t>Orin2013</t>
        </is>
      </c>
      <c r="B6" s="2" t="inlineStr">
        <is>
          <t>Centroidal Dynamics of a Humanoid Robot</t>
        </is>
      </c>
      <c r="C6" s="2" t="inlineStr">
        <is>
          <t>D. E. Orin et al.</t>
        </is>
      </c>
      <c r="D6" s="2" t="n">
        <v>2013</v>
      </c>
      <c r="E6" s="2" t="inlineStr">
        <is>
          <t>Autonomous Robots</t>
        </is>
      </c>
      <c r="F6" s="2" t="inlineStr">
        <is>
          <t>10.1007/s10514-013-9341-4</t>
        </is>
      </c>
      <c r="G6" s="2">
        <f>HYPERLINK("https://doi.org/10.1007/s10514-013-9341-4", "Ouvrir")</f>
        <v/>
      </c>
      <c r="H6" s="2" t="inlineStr">
        <is>
          <t>✅</t>
        </is>
      </c>
    </row>
    <row r="7">
      <c r="A7" s="2" t="inlineStr">
        <is>
          <t>Saab2013</t>
        </is>
      </c>
      <c r="B7" s="2" t="inlineStr">
        <is>
          <t>Dynamic Whole-Body Motion Generation Under Rigid Contacts</t>
        </is>
      </c>
      <c r="C7" s="2" t="inlineStr">
        <is>
          <t>L. Saab et al.</t>
        </is>
      </c>
      <c r="D7" s="2" t="n">
        <v>2013</v>
      </c>
      <c r="E7" s="2" t="inlineStr">
        <is>
          <t>IEEE T-RO</t>
        </is>
      </c>
      <c r="F7" s="2" t="inlineStr">
        <is>
          <t>10.1109/TRO.2012.2234351</t>
        </is>
      </c>
      <c r="G7" s="2">
        <f>HYPERLINK("https://doi.org/10.1109/TRO.2012.2234351", "Ouvrir")</f>
        <v/>
      </c>
      <c r="H7" s="2" t="inlineStr">
        <is>
          <t>✅</t>
        </is>
      </c>
    </row>
    <row r="8">
      <c r="A8" s="2" t="inlineStr">
        <is>
          <t>EscandeMansard2014</t>
        </is>
      </c>
      <c r="B8" s="2" t="inlineStr">
        <is>
          <t>Hierarchical Quadratic Programming: Fast Online Humanoid Motion</t>
        </is>
      </c>
      <c r="C8" s="2" t="inlineStr">
        <is>
          <t>A. Escande, N. Mansard, P. Wieber</t>
        </is>
      </c>
      <c r="D8" s="2" t="n">
        <v>2014</v>
      </c>
      <c r="E8" s="2" t="inlineStr">
        <is>
          <t>IJRR</t>
        </is>
      </c>
      <c r="F8" s="2" t="inlineStr">
        <is>
          <t>10.1177/0278364914521306</t>
        </is>
      </c>
      <c r="G8" s="2">
        <f>HYPERLINK("https://doi.org/10.1177/0278364914521306", "Ouvrir")</f>
        <v/>
      </c>
      <c r="H8" s="2" t="inlineStr">
        <is>
          <t>✅</t>
        </is>
      </c>
    </row>
    <row r="9">
      <c r="A9" s="2" t="inlineStr">
        <is>
          <t>Herzog2014</t>
        </is>
      </c>
      <c r="B9" s="2" t="inlineStr">
        <is>
          <t>Balancing Experiments on a Torque-Controlled Humanoid</t>
        </is>
      </c>
      <c r="C9" s="2" t="inlineStr">
        <is>
          <t>A. Herzog et al.</t>
        </is>
      </c>
      <c r="D9" s="2" t="n">
        <v>2014</v>
      </c>
      <c r="E9" s="2" t="inlineStr">
        <is>
          <t>IEEE IROS</t>
        </is>
      </c>
      <c r="F9" s="2" t="inlineStr">
        <is>
          <t>10.1109/IROS.2014.6942680</t>
        </is>
      </c>
      <c r="G9" s="2">
        <f>HYPERLINK("https://doi.org/10.1109/IROS.2014.6942680", "Ouvrir")</f>
        <v/>
      </c>
      <c r="H9" s="2" t="inlineStr">
        <is>
          <t>✅</t>
        </is>
      </c>
    </row>
    <row r="10">
      <c r="A10" s="2" t="inlineStr">
        <is>
          <t>Righetti2013</t>
        </is>
      </c>
      <c r="B10" s="2" t="inlineStr">
        <is>
          <t>Optimal Distribution of Contact Forces with Inverse Dynamics</t>
        </is>
      </c>
      <c r="C10" s="2" t="inlineStr">
        <is>
          <t>L. Righetti et al.</t>
        </is>
      </c>
      <c r="D10" s="2" t="n">
        <v>2013</v>
      </c>
      <c r="E10" s="2" t="inlineStr">
        <is>
          <t>IJRR</t>
        </is>
      </c>
      <c r="F10" s="2" t="inlineStr">
        <is>
          <t>10.1177/0278364912469821</t>
        </is>
      </c>
      <c r="G10" s="2">
        <f>HYPERLINK("https://doi.org/10.1177/0278364912469821", "Ouvrir")</f>
        <v/>
      </c>
      <c r="H10" s="2" t="inlineStr">
        <is>
          <t>✅</t>
        </is>
      </c>
    </row>
    <row r="11">
      <c r="A11" s="2" t="inlineStr">
        <is>
          <t>Koolen2016</t>
        </is>
      </c>
      <c r="B11" s="2" t="inlineStr">
        <is>
          <t>Design of a Momentum-Based Control Framework and Atlas</t>
        </is>
      </c>
      <c r="C11" s="2" t="inlineStr">
        <is>
          <t>T. Koolen et al.</t>
        </is>
      </c>
      <c r="D11" s="2" t="n">
        <v>2016</v>
      </c>
      <c r="E11" s="2" t="inlineStr">
        <is>
          <t>IJHR</t>
        </is>
      </c>
      <c r="F11" s="2" t="inlineStr">
        <is>
          <t>10.1142/S0219843616500079</t>
        </is>
      </c>
      <c r="G11" s="2">
        <f>HYPERLINK("https://doi.org/10.1142/S0219843616500079", "Ouvrir")</f>
        <v/>
      </c>
      <c r="H11" s="2" t="inlineStr">
        <is>
          <t>✅</t>
        </is>
      </c>
    </row>
    <row r="12">
      <c r="A12" s="2" t="inlineStr">
        <is>
          <t>Caron2019</t>
        </is>
      </c>
      <c r="B12" s="2" t="inlineStr">
        <is>
          <t>Stair Climbing Stabilization of HRP-4 using Whole-Body Admittance</t>
        </is>
      </c>
      <c r="C12" s="2" t="inlineStr">
        <is>
          <t>S. Caron, A. Kheddar, O. Tempier</t>
        </is>
      </c>
      <c r="D12" s="2" t="n">
        <v>2019</v>
      </c>
      <c r="E12" s="2" t="inlineStr">
        <is>
          <t>IEEE ICRA</t>
        </is>
      </c>
      <c r="F12" s="2" t="inlineStr">
        <is>
          <t>10.1109/ICRA.2019.8794348</t>
        </is>
      </c>
      <c r="G12" s="2">
        <f>HYPERLINK("https://doi.org/10.1109/ICRA.2019.8794348", "Ouvrir")</f>
        <v/>
      </c>
      <c r="H12" s="2" t="inlineStr">
        <is>
          <t>✅</t>
        </is>
      </c>
    </row>
    <row r="13">
      <c r="A13" s="2" t="inlineStr">
        <is>
          <t>Winkler2018</t>
        </is>
      </c>
      <c r="B13" s="2" t="inlineStr">
        <is>
          <t>Gait and Trajectory Optimization for Legged Systems Through Phase-Based</t>
        </is>
      </c>
      <c r="C13" s="2" t="inlineStr">
        <is>
          <t>A. W. Winkler et al.</t>
        </is>
      </c>
      <c r="D13" s="2" t="n">
        <v>2018</v>
      </c>
      <c r="E13" s="2" t="inlineStr">
        <is>
          <t>IEEE RA-L</t>
        </is>
      </c>
      <c r="F13" s="2" t="inlineStr">
        <is>
          <t>10.1109/LRA.2018.2798285</t>
        </is>
      </c>
      <c r="G13" s="2">
        <f>HYPERLINK("https://doi.org/10.1109/LRA.2018.2798285", "Ouvrir")</f>
        <v/>
      </c>
      <c r="H13" s="2" t="inlineStr">
        <is>
          <t>✅</t>
        </is>
      </c>
    </row>
    <row r="14">
      <c r="A14" s="2" t="inlineStr">
        <is>
          <t>Pinocchio</t>
        </is>
      </c>
      <c r="B14" s="2" t="inlineStr">
        <is>
          <t>The Pinocchio C++ Library</t>
        </is>
      </c>
      <c r="C14" s="2" t="inlineStr">
        <is>
          <t>J. Carpentier et al.</t>
        </is>
      </c>
      <c r="D14" s="2" t="n">
        <v>2019</v>
      </c>
      <c r="E14" s="2" t="inlineStr">
        <is>
          <t>IEEE/SICE SII</t>
        </is>
      </c>
      <c r="F14" s="2" t="inlineStr">
        <is>
          <t>10.1109/SII.2019.8700380</t>
        </is>
      </c>
      <c r="G14" s="2">
        <f>HYPERLINK("https://doi.org/10.1109/SII.2019.8700380", "Ouvrir")</f>
        <v/>
      </c>
      <c r="H14" s="2" t="inlineStr">
        <is>
          <t>✅</t>
        </is>
      </c>
    </row>
    <row r="15">
      <c r="A15" s="2" t="inlineStr">
        <is>
          <t>Crocoddyl</t>
        </is>
      </c>
      <c r="B15" s="2" t="inlineStr">
        <is>
          <t>Crocoddyl: An Efficient and Versatile Framework for Multi-Contact Optimal Control</t>
        </is>
      </c>
      <c r="C15" s="2" t="inlineStr">
        <is>
          <t>C. Mastalli et al.</t>
        </is>
      </c>
      <c r="D15" s="2" t="n">
        <v>2020</v>
      </c>
      <c r="E15" s="2" t="inlineStr">
        <is>
          <t>IEEE ICRA</t>
        </is>
      </c>
      <c r="F15" s="2" t="inlineStr">
        <is>
          <t>10.1109/ICRA40945.2020.9196673</t>
        </is>
      </c>
      <c r="G15" s="2">
        <f>HYPERLINK("https://doi.org/10.1109/ICRA40945.2020.9196673", "Ouvrir")</f>
        <v/>
      </c>
      <c r="H15" s="2" t="inlineStr">
        <is>
          <t>✅</t>
        </is>
      </c>
    </row>
    <row r="16">
      <c r="A16" s="2" t="inlineStr">
        <is>
          <t>Wensing2023Review</t>
        </is>
      </c>
      <c r="B16" s="2" t="inlineStr">
        <is>
          <t>Optimization-Based Control for Dynamic Legged Robots</t>
        </is>
      </c>
      <c r="C16" s="2" t="inlineStr">
        <is>
          <t>P. M. Wensing et al.</t>
        </is>
      </c>
      <c r="D16" s="2" t="n">
        <v>2023</v>
      </c>
      <c r="E16" s="2" t="inlineStr">
        <is>
          <t>IEEE T-RO</t>
        </is>
      </c>
      <c r="F16" s="2" t="inlineStr">
        <is>
          <t>10.1109/TRO.2023.3324580</t>
        </is>
      </c>
      <c r="G16" s="2">
        <f>HYPERLINK("https://doi.org/10.1109/TRO.2023.3324580", "Ouvrir")</f>
        <v/>
      </c>
      <c r="H16" s="2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  <col width="35" customWidth="1" min="3" max="3"/>
    <col width="8" customWidth="1" min="4" max="4"/>
    <col width="25" customWidth="1" min="5" max="5"/>
    <col width="20" customWidth="1" min="6" max="6"/>
    <col width="45" customWidth="1" min="7" max="7"/>
    <col width="15" customWidth="1" min="8" max="8"/>
  </cols>
  <sheetData>
    <row r="1">
      <c r="A1" s="1" t="inlineStr">
        <is>
          <t>BibKey</t>
        </is>
      </c>
      <c r="B1" s="1" t="inlineStr">
        <is>
          <t>Titre</t>
        </is>
      </c>
      <c r="C1" s="1" t="inlineStr">
        <is>
          <t>Auteurs</t>
        </is>
      </c>
      <c r="D1" s="1" t="inlineStr">
        <is>
          <t>Année</t>
        </is>
      </c>
      <c r="E1" s="1" t="inlineStr">
        <is>
          <t>Venue</t>
        </is>
      </c>
      <c r="F1" s="1" t="inlineStr">
        <is>
          <t>DOI/arXiv</t>
        </is>
      </c>
      <c r="G1" s="1" t="inlineStr">
        <is>
          <t>Lien HTTP</t>
        </is>
      </c>
      <c r="H1" s="1" t="inlineStr">
        <is>
          <t>Statut</t>
        </is>
      </c>
    </row>
    <row r="2">
      <c r="A2" s="3" t="inlineStr">
        <is>
          <t>Sleiman2021</t>
        </is>
      </c>
      <c r="B2" s="3" t="inlineStr">
        <is>
          <t>A Unified MPC Framework for Whole-Body Dynamic Locomotion and Manipulation</t>
        </is>
      </c>
      <c r="C2" s="3" t="inlineStr">
        <is>
          <t>J.-P. Sleiman et al.</t>
        </is>
      </c>
      <c r="D2" s="3" t="n">
        <v>2021</v>
      </c>
      <c r="E2" s="3" t="inlineStr">
        <is>
          <t>IEEE RA-L</t>
        </is>
      </c>
      <c r="F2" s="3" t="inlineStr">
        <is>
          <t>10.1109/LRA.2021.3068908</t>
        </is>
      </c>
      <c r="G2" s="3">
        <f>HYPERLINK("https://doi.org/10.1109/LRA.2021.3068908", "Ouvrir")</f>
        <v/>
      </c>
      <c r="H2" s="3" t="inlineStr">
        <is>
          <t>⚠️</t>
        </is>
      </c>
    </row>
    <row r="3">
      <c r="A3" s="3" t="inlineStr">
        <is>
          <t>Romualdi2023</t>
        </is>
      </c>
      <c r="B3" s="3" t="inlineStr">
        <is>
          <t>Online Non-linear Centroidal MPC for Humanoid Robot Locomotion</t>
        </is>
      </c>
      <c r="C3" s="3" t="inlineStr">
        <is>
          <t>G. Romualdi et al.</t>
        </is>
      </c>
      <c r="D3" s="3" t="n">
        <v>2023</v>
      </c>
      <c r="E3" s="3" t="inlineStr">
        <is>
          <t>IEEE RA-L</t>
        </is>
      </c>
      <c r="F3" s="3" t="inlineStr">
        <is>
          <t>10.1109/LRA.2023.3273393</t>
        </is>
      </c>
      <c r="G3" s="3">
        <f>HYPERLINK("https://doi.org/10.1109/LRA.2023.3273393", "Ouvrir")</f>
        <v/>
      </c>
      <c r="H3" s="3" t="inlineStr">
        <is>
          <t>⚠️</t>
        </is>
      </c>
    </row>
    <row r="4">
      <c r="A4" s="3" t="inlineStr">
        <is>
          <t>Elobaid2023</t>
        </is>
      </c>
      <c r="B4" s="3" t="inlineStr">
        <is>
          <t>Online DCM Trajectory Generation for Push Recovery of Torque-Controlled Humanoids</t>
        </is>
      </c>
      <c r="C4" s="3" t="inlineStr">
        <is>
          <t>M. Elobaid et al.</t>
        </is>
      </c>
      <c r="D4" s="3" t="n">
        <v>2023</v>
      </c>
      <c r="E4" s="3" t="inlineStr">
        <is>
          <t>IEEE RA-L</t>
        </is>
      </c>
      <c r="F4" s="3" t="inlineStr">
        <is>
          <t>10.1109/LRA.2023.3289866</t>
        </is>
      </c>
      <c r="G4" s="3">
        <f>HYPERLINK("https://doi.org/10.1109/LRA.2023.3289866", "Ouvrir")</f>
        <v/>
      </c>
      <c r="H4" s="3" t="inlineStr">
        <is>
          <t>⚠️</t>
        </is>
      </c>
    </row>
    <row r="5">
      <c r="A5" s="3" t="inlineStr">
        <is>
          <t>MuJoCo2012</t>
        </is>
      </c>
      <c r="B5" s="3" t="inlineStr">
        <is>
          <t>MuJoCo: A Physics Engine for Model-Based Control</t>
        </is>
      </c>
      <c r="C5" s="3" t="inlineStr">
        <is>
          <t>E. Todorov, T. Erez, Y. Tassa</t>
        </is>
      </c>
      <c r="D5" s="3" t="n">
        <v>2012</v>
      </c>
      <c r="E5" s="3" t="inlineStr">
        <is>
          <t>IEEE IROS</t>
        </is>
      </c>
      <c r="F5" s="3" t="inlineStr">
        <is>
          <t>10.1109/IROS.2012.6386109</t>
        </is>
      </c>
      <c r="G5" s="3">
        <f>HYPERLINK("https://doi.org/10.1109/IROS.2012.6386109", "Ouvrir")</f>
        <v/>
      </c>
      <c r="H5" s="3" t="inlineStr">
        <is>
          <t>⚠️</t>
        </is>
      </c>
    </row>
    <row r="6">
      <c r="A6" s="3" t="inlineStr">
        <is>
          <t>Sferrazza2024</t>
        </is>
      </c>
      <c r="B6" s="3" t="inlineStr">
        <is>
          <t>HumanoidBench: Simulated Humanoid Benchmark for Whole-Body Locomotion</t>
        </is>
      </c>
      <c r="C6" s="3" t="inlineStr">
        <is>
          <t>C. Sferrazza et al.</t>
        </is>
      </c>
      <c r="D6" s="3" t="n">
        <v>2024</v>
      </c>
      <c r="E6" s="3" t="inlineStr">
        <is>
          <t>RSS 2024</t>
        </is>
      </c>
      <c r="F6" s="3" t="inlineStr">
        <is>
          <t>arXiv:2403.10506</t>
        </is>
      </c>
      <c r="G6" s="3">
        <f>HYPERLINK("https://arxiv.org/abs/2403.10506", "Ouvrir")</f>
        <v/>
      </c>
      <c r="H6" s="3" t="inlineStr">
        <is>
          <t>⚠️</t>
        </is>
      </c>
    </row>
    <row r="7">
      <c r="A7" s="3" t="inlineStr">
        <is>
          <t>PolySim2025</t>
        </is>
      </c>
      <c r="B7" s="3" t="inlineStr">
        <is>
          <t>PolySim: Bridging Sim-to-Real Gap via Multi-Simulator Dynamics</t>
        </is>
      </c>
      <c r="C7" s="3" t="inlineStr">
        <is>
          <t>PolySim Contributors</t>
        </is>
      </c>
      <c r="D7" s="3" t="n">
        <v>2025</v>
      </c>
      <c r="E7" s="3" t="inlineStr">
        <is>
          <t>arXiv</t>
        </is>
      </c>
      <c r="F7" s="3" t="inlineStr">
        <is>
          <t>arXiv:2510.01708</t>
        </is>
      </c>
      <c r="G7" s="3">
        <f>HYPERLINK("https://arxiv.org/abs/2510.01708", "Ouvrir")</f>
        <v/>
      </c>
      <c r="H7" s="3" t="inlineStr">
        <is>
          <t>⚠️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  <col width="35" customWidth="1" min="3" max="3"/>
    <col width="8" customWidth="1" min="4" max="4"/>
    <col width="25" customWidth="1" min="5" max="5"/>
    <col width="20" customWidth="1" min="6" max="6"/>
    <col width="15" customWidth="1" min="7" max="7"/>
    <col width="15" customWidth="1" min="8" max="8"/>
  </cols>
  <sheetData>
    <row r="1">
      <c r="A1" s="1" t="inlineStr">
        <is>
          <t>BibKey</t>
        </is>
      </c>
      <c r="B1" s="1" t="inlineStr">
        <is>
          <t>Titre</t>
        </is>
      </c>
      <c r="C1" s="1" t="inlineStr">
        <is>
          <t>Auteurs</t>
        </is>
      </c>
      <c r="D1" s="1" t="inlineStr">
        <is>
          <t>Année</t>
        </is>
      </c>
      <c r="E1" s="1" t="inlineStr">
        <is>
          <t>Venue</t>
        </is>
      </c>
      <c r="F1" s="1" t="inlineStr">
        <is>
          <t>DOI/arXiv</t>
        </is>
      </c>
      <c r="G1" s="1" t="inlineStr">
        <is>
          <t>Lien HTTP</t>
        </is>
      </c>
      <c r="H1" s="1" t="inlineStr">
        <is>
          <t>Statut</t>
        </is>
      </c>
    </row>
    <row r="2">
      <c r="A2" s="4" t="inlineStr">
        <is>
          <t>Patrizi2026</t>
        </is>
      </c>
      <c r="B2" s="4" t="inlineStr">
        <is>
          <t>[FABRICATED] Efficient Whole-Body Nonlinear MPC with Contact-Implicit Constraints</t>
        </is>
      </c>
      <c r="C2" s="4" t="inlineStr">
        <is>
          <t>Unknown</t>
        </is>
      </c>
      <c r="D2" s="4" t="n">
        <v>2026</v>
      </c>
      <c r="E2" s="4" t="inlineStr">
        <is>
          <t>IEEE T-RO</t>
        </is>
      </c>
      <c r="F2" s="4" t="inlineStr">
        <is>
          <t>N/A</t>
        </is>
      </c>
      <c r="G2" s="4" t="inlineStr">
        <is>
          <t>N/A</t>
        </is>
      </c>
      <c r="H2" s="4" t="inlineStr">
        <is>
          <t>❌</t>
        </is>
      </c>
    </row>
    <row r="3">
      <c r="A3" s="4" t="inlineStr">
        <is>
          <t>Liu2025</t>
        </is>
      </c>
      <c r="B3" s="4" t="inlineStr">
        <is>
          <t>[FABRICATED] Robust Whole-Body MPC for Humanoid Loco-Manipulation</t>
        </is>
      </c>
      <c r="C3" s="4" t="inlineStr">
        <is>
          <t>Unknown</t>
        </is>
      </c>
      <c r="D3" s="4" t="n">
        <v>2025</v>
      </c>
      <c r="E3" s="4" t="inlineStr">
        <is>
          <t>IEEE RA-L</t>
        </is>
      </c>
      <c r="F3" s="4" t="inlineStr">
        <is>
          <t>N/A</t>
        </is>
      </c>
      <c r="G3" s="4" t="inlineStr">
        <is>
          <t>N/A</t>
        </is>
      </c>
      <c r="H3" s="4" t="inlineStr">
        <is>
          <t>❌</t>
        </is>
      </c>
    </row>
    <row r="4">
      <c r="A4" s="4" t="inlineStr">
        <is>
          <t>Wang2025a</t>
        </is>
      </c>
      <c r="B4" s="4" t="inlineStr">
        <is>
          <t>[FABRICATED] Contact-Implicit MPC for Dynamic Humanoid Locomotion</t>
        </is>
      </c>
      <c r="C4" s="4" t="inlineStr">
        <is>
          <t>Unknown</t>
        </is>
      </c>
      <c r="D4" s="4" t="n">
        <v>2025</v>
      </c>
      <c r="E4" s="4" t="inlineStr">
        <is>
          <t>IEEE T-RO</t>
        </is>
      </c>
      <c r="F4" s="4" t="inlineStr">
        <is>
          <t>N/A</t>
        </is>
      </c>
      <c r="G4" s="4" t="inlineStr">
        <is>
          <t>N/A</t>
        </is>
      </c>
      <c r="H4" s="4" t="inlineStr">
        <is>
          <t>❌</t>
        </is>
      </c>
    </row>
    <row r="5">
      <c r="A5" s="4" t="inlineStr">
        <is>
          <t>Tang2025</t>
        </is>
      </c>
      <c r="B5" s="4" t="inlineStr">
        <is>
          <t>[FABRICATED] Learning Robust Humanoid Locomotion with Residual WBC</t>
        </is>
      </c>
      <c r="C5" s="4" t="inlineStr">
        <is>
          <t>Unknown</t>
        </is>
      </c>
      <c r="D5" s="4" t="n">
        <v>2025</v>
      </c>
      <c r="E5" s="4" t="inlineStr">
        <is>
          <t>IEEE RA-L</t>
        </is>
      </c>
      <c r="F5" s="4" t="inlineStr">
        <is>
          <t>N/A</t>
        </is>
      </c>
      <c r="G5" s="4" t="inlineStr">
        <is>
          <t>N/A</t>
        </is>
      </c>
      <c r="H5" s="4" t="inlineStr">
        <is>
          <t>❌</t>
        </is>
      </c>
    </row>
    <row r="6">
      <c r="A6" s="4" t="inlineStr">
        <is>
          <t>Zhang2025Falcon</t>
        </is>
      </c>
      <c r="B6" s="4" t="inlineStr">
        <is>
          <t>[WRONG] FALCON: Fast Agile Locomotion with Learned Residuals</t>
        </is>
      </c>
      <c r="C6" s="4" t="inlineStr">
        <is>
          <t>Unknown</t>
        </is>
      </c>
      <c r="D6" s="4" t="n">
        <v>2025</v>
      </c>
      <c r="E6" s="4" t="inlineStr">
        <is>
          <t>Science Robotics</t>
        </is>
      </c>
      <c r="F6" s="4" t="inlineStr">
        <is>
          <t>N/A</t>
        </is>
      </c>
      <c r="G6" s="4" t="inlineStr">
        <is>
          <t>N/A</t>
        </is>
      </c>
      <c r="H6" s="4" t="inlineStr">
        <is>
          <t>❌</t>
        </is>
      </c>
    </row>
    <row r="7">
      <c r="A7" s="4" t="inlineStr">
        <is>
          <t>Singh2025</t>
        </is>
      </c>
      <c r="B7" s="4" t="inlineStr">
        <is>
          <t>[FABRICATED] Hybrid MPC–RL Architectures for Humanoid Locomotion</t>
        </is>
      </c>
      <c r="C7" s="4" t="inlineStr">
        <is>
          <t>Unknown</t>
        </is>
      </c>
      <c r="D7" s="4" t="n">
        <v>2025</v>
      </c>
      <c r="E7" s="4" t="inlineStr">
        <is>
          <t>IEEE T-RO</t>
        </is>
      </c>
      <c r="F7" s="4" t="inlineStr">
        <is>
          <t>N/A</t>
        </is>
      </c>
      <c r="G7" s="4" t="inlineStr">
        <is>
          <t>N/A</t>
        </is>
      </c>
      <c r="H7" s="4" t="inlineStr">
        <is>
          <t>❌</t>
        </is>
      </c>
    </row>
    <row r="8">
      <c r="A8" s="4" t="inlineStr">
        <is>
          <t>Kuang2025</t>
        </is>
      </c>
      <c r="B8" s="4" t="inlineStr">
        <is>
          <t>[FABRICATED] Sim-to-Real RL for Agile Humanoid Locomotion</t>
        </is>
      </c>
      <c r="C8" s="4" t="inlineStr">
        <is>
          <t>Unknown</t>
        </is>
      </c>
      <c r="D8" s="4" t="n">
        <v>2025</v>
      </c>
      <c r="E8" s="4" t="inlineStr">
        <is>
          <t>IEEE RA-L</t>
        </is>
      </c>
      <c r="F8" s="4" t="inlineStr">
        <is>
          <t>N/A</t>
        </is>
      </c>
      <c r="G8" s="4" t="inlineStr">
        <is>
          <t>N/A</t>
        </is>
      </c>
      <c r="H8" s="4" t="inlineStr">
        <is>
          <t>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5" t="inlineStr">
        <is>
          <t>AUDIT LITTÉRATURE — CHAPITRE 2</t>
        </is>
      </c>
    </row>
    <row r="3">
      <c r="A3" s="6" t="inlineStr">
        <is>
          <t>Statistiques</t>
        </is>
      </c>
    </row>
    <row r="4">
      <c r="A4" s="7" t="inlineStr">
        <is>
          <t>Catégorie</t>
        </is>
      </c>
      <c r="B4" s="7" t="inlineStr">
        <is>
          <t>Nombre</t>
        </is>
      </c>
    </row>
    <row r="5">
      <c r="A5" t="inlineStr">
        <is>
          <t>✅ Fully verified</t>
        </is>
      </c>
      <c r="B5" t="n">
        <v>15</v>
      </c>
    </row>
    <row r="6">
      <c r="A6" t="inlineStr">
        <is>
          <t>⚠️ Verified with corrections needed</t>
        </is>
      </c>
      <c r="B6" t="n">
        <v>6</v>
      </c>
    </row>
    <row r="7">
      <c r="A7" t="inlineStr">
        <is>
          <t>❌ NOT FOUND — AI-generated</t>
        </is>
      </c>
      <c r="B7" t="n">
        <v>7</v>
      </c>
    </row>
    <row r="8">
      <c r="A8" t="inlineStr">
        <is>
          <t>TOTAL</t>
        </is>
      </c>
      <c r="B8" s="8" t="n">
        <v>28</v>
      </c>
    </row>
    <row r="11">
      <c r="A11" s="9" t="inlineStr">
        <is>
          <t>Instructions pour la prochaine étape :</t>
        </is>
      </c>
    </row>
    <row r="12">
      <c r="A12" t="inlineStr">
        <is>
          <t>1. Supprimer les 7 sources ❌ de references.bib et du Chapitre 2</t>
        </is>
      </c>
    </row>
    <row r="13">
      <c r="A13" t="inlineStr">
        <is>
          <t>2. Appliquer les 6 corrections ⚠️ dans les métadonnées BibTeX</t>
        </is>
      </c>
    </row>
    <row r="14">
      <c r="A14" t="inlineStr">
        <is>
          <t>3. Vérifier les 15 liens HTTP des sources ✅ (testing aléatoire)</t>
        </is>
      </c>
    </row>
    <row r="15">
      <c r="A15" t="inlineStr">
        <is>
          <t>4. Commit final avant révision superviseur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2026-04-30T15:53:52Z</dcterms:created>
  <dcterms:modified xmlns:dcterms="http://purl.org/dc/terms/" xmlns:xsi="http://www.w3.org/2001/XMLSchema-instance" xsi:type="dcterms:W3CDTF">2026-04-30T15:53:52Z</dcterms:modified>
</cp:coreProperties>
</file>